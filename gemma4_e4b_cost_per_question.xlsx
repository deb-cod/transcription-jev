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Jev Gemma4 E4B" sheetId="1" state="visible" r:id="rId1"/>
    <sheet name="How the cost is calcul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49" fontId="0" fillId="0" borderId="1" pivotButton="0" quotePrefix="0" xfId="0"/>
    <xf numFmtId="164" fontId="0" fillId="0" borderId="1" pivotButton="0" quotePrefix="0" xfId="0"/>
    <xf numFmtId="1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3" customWidth="1" min="3" max="3"/>
    <col width="16" customWidth="1" min="4" max="4"/>
    <col width="27" customWidth="1" min="5" max="5"/>
    <col width="27" customWidth="1" min="6" max="6"/>
    <col width="23" customWidth="1" min="7" max="7"/>
    <col width="31" customWidth="1" min="8" max="8"/>
    <col width="34" customWidth="1" min="9" max="9"/>
    <col width="40" customWidth="1" min="10" max="10"/>
  </cols>
  <sheetData>
    <row r="1">
      <c r="A1" s="1" t="inlineStr">
        <is>
          <t>Backend</t>
        </is>
      </c>
      <c r="B1" s="1" t="inlineStr">
        <is>
          <t>Model</t>
        </is>
      </c>
      <c r="C1" s="1" t="inlineStr">
        <is>
          <t>Latency (s)</t>
        </is>
      </c>
      <c r="D1" s="1" t="inlineStr">
        <is>
          <t>Power draw (W)</t>
        </is>
      </c>
      <c r="E1" s="1" t="inlineStr">
        <is>
          <t>Electricity price ($/kWh)</t>
        </is>
      </c>
      <c r="F1" s="1" t="inlineStr">
        <is>
          <t>Energy per question (kWh)</t>
        </is>
      </c>
      <c r="G1" s="1" t="inlineStr">
        <is>
          <t>Cost per question ($)</t>
        </is>
      </c>
      <c r="H1" s="1" t="inlineStr">
        <is>
          <t>Cost per 10,000 questions ($)</t>
        </is>
      </c>
      <c r="I1" s="1" t="inlineStr">
        <is>
          <t>Cost per 1,000,000 questions ($)</t>
        </is>
      </c>
      <c r="J1" s="1" t="inlineStr">
        <is>
          <t>Notes</t>
        </is>
      </c>
    </row>
    <row r="2">
      <c r="A2" s="2" t="inlineStr">
        <is>
          <t>OpenJev native Gemma (experimental)</t>
        </is>
      </c>
      <c r="B2" s="2" t="inlineStr">
        <is>
          <t>gemma4-e4b-native</t>
        </is>
      </c>
      <c r="C2" s="3" t="n">
        <v>4.914</v>
      </c>
      <c r="D2" s="4" t="n">
        <v>100</v>
      </c>
      <c r="E2" s="5" t="n">
        <v>0.15</v>
      </c>
      <c r="F2" s="6">
        <f>B2*A2/3600000</f>
        <v/>
      </c>
      <c r="G2" s="6">
        <f>F2*C2</f>
        <v/>
      </c>
      <c r="H2" s="3">
        <f>G2*10000</f>
        <v/>
      </c>
      <c r="I2" s="5">
        <f>G2*1000000</f>
        <v/>
      </c>
      <c r="J2" s="7" t="inlineStr">
        <is>
          <t>Native Gemma via llama.cpp; from README_INFERENCE_BENCHMARK.md and README_INFERENCE_COSTS.md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32" customWidth="1" min="3" max="3"/>
  </cols>
  <sheetData>
    <row r="1">
      <c r="A1" s="1" t="inlineStr">
        <is>
          <t>Step</t>
        </is>
      </c>
      <c r="B1" s="1" t="inlineStr">
        <is>
          <t>Formula</t>
        </is>
      </c>
      <c r="C1" s="1" t="inlineStr">
        <is>
          <t>Value</t>
        </is>
      </c>
    </row>
    <row r="2">
      <c r="A2" s="7" t="inlineStr">
        <is>
          <t>Latency used</t>
        </is>
      </c>
      <c r="B2" s="7" t="inlineStr">
        <is>
          <t>Measured latency for OpenJev native Gemma</t>
        </is>
      </c>
      <c r="C2" s="7" t="inlineStr">
        <is>
          <t>4.914 s</t>
        </is>
      </c>
    </row>
    <row r="3">
      <c r="A3" s="7" t="inlineStr">
        <is>
          <t>Power draw</t>
        </is>
      </c>
      <c r="B3" s="7" t="inlineStr">
        <is>
          <t>Assumed request power</t>
        </is>
      </c>
      <c r="C3" s="7" t="inlineStr">
        <is>
          <t>100 W</t>
        </is>
      </c>
    </row>
    <row r="4">
      <c r="A4" s="7" t="inlineStr">
        <is>
          <t>Energy per question</t>
        </is>
      </c>
      <c r="B4" s="7" t="inlineStr">
        <is>
          <t>watts × latency_seconds / 3,600,000</t>
        </is>
      </c>
      <c r="C4" s="7" t="inlineStr">
        <is>
          <t>0.000136500000 kWh</t>
        </is>
      </c>
    </row>
    <row r="5">
      <c r="A5" s="7" t="inlineStr">
        <is>
          <t>Cost per question</t>
        </is>
      </c>
      <c r="B5" s="7" t="inlineStr">
        <is>
          <t>energy_kwh × electricity_price_per_kwh</t>
        </is>
      </c>
      <c r="C5" s="7" t="inlineStr">
        <is>
          <t>$0.000020475000</t>
        </is>
      </c>
    </row>
    <row r="6">
      <c r="A6" s="7" t="inlineStr">
        <is>
          <t>Cost per 10,000 questions</t>
        </is>
      </c>
      <c r="B6" s="7" t="inlineStr">
        <is>
          <t>cost_per_question × 10,000</t>
        </is>
      </c>
      <c r="C6" s="7" t="inlineStr">
        <is>
          <t>$0.205</t>
        </is>
      </c>
    </row>
    <row r="7">
      <c r="A7" s="7" t="inlineStr">
        <is>
          <t>Cost per 1,000,000 questions</t>
        </is>
      </c>
      <c r="B7" s="7" t="inlineStr">
        <is>
          <t>cost_per_question × 1,000,000</t>
        </is>
      </c>
      <c r="C7" s="7" t="inlineStr">
        <is>
          <t>$20.47</t>
        </is>
      </c>
    </row>
    <row r="8">
      <c r="A8" s="7" t="inlineStr">
        <is>
          <t>Source refs</t>
        </is>
      </c>
      <c r="B8" s="7" t="inlineStr">
        <is>
          <t>README_INFERENCE_BENCHMARK.md and README_INFERENCE_COSTS.md</t>
        </is>
      </c>
      <c r="C8" s="7" t="inlineStr">
        <is>
          <t>OpenJev native Gemma benchmark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2026-10-12T05:54:57Z</dcterms:created>
  <dcterms:modified xsi:type="dcterms:W3CDTF">2026-10-12T05:54:57Z</dcterms:modified>
</cp:coreProperties>
</file>